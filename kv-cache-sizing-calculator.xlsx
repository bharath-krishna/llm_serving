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harath/workspace/llm_serving/"/>
    </mc:Choice>
  </mc:AlternateContent>
  <xr:revisionPtr revIDLastSave="0" documentId="13_ncr:1_{034FB170-03D5-8E44-88AE-492C388DB62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lculator" sheetId="1" r:id="rId1"/>
    <sheet name="How it wo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49" i="1" s="1"/>
  <c r="C43" i="1"/>
  <c r="C40" i="1"/>
  <c r="C34" i="1"/>
  <c r="C31" i="1"/>
  <c r="C51" i="1" s="1"/>
  <c r="C30" i="1"/>
  <c r="C20" i="1"/>
  <c r="C22" i="1" s="1"/>
  <c r="C18" i="1"/>
  <c r="C50" i="1" l="1"/>
  <c r="C23" i="1"/>
  <c r="C41" i="1"/>
  <c r="C42" i="1" s="1"/>
  <c r="C24" i="1"/>
  <c r="C32" i="1"/>
  <c r="C44" i="1"/>
  <c r="C21" i="1"/>
  <c r="C37" i="1"/>
  <c r="C38" i="1" s="1"/>
</calcChain>
</file>

<file path=xl/sharedStrings.xml><?xml version="1.0" encoding="utf-8"?>
<sst xmlns="http://schemas.openxmlformats.org/spreadsheetml/2006/main" count="142" uniqueCount="119">
  <si>
    <t>LLM KV Cache &amp; LMCache Tier Sizing Calculator</t>
  </si>
  <si>
    <t>Edit the YELLOW cells only. Grey cells are live formulas; red text is an automatic verdict. Defaults = a measured NVIDIA-Nemotron-3.5-Lightning-30B deployment on DGX Spark (GB10).</t>
  </si>
  <si>
    <t>1 · MODEL PARAMETERS   (from the model's config.json)</t>
  </si>
  <si>
    <t>Total layers</t>
  </si>
  <si>
    <t>layers</t>
  </si>
  <si>
    <t>config.json → num_hidden_layers</t>
  </si>
  <si>
    <t>Attention layers</t>
  </si>
  <si>
    <t>Hybrid Mamba/SSM models: count of '*' in hybrid_override_pattern. Pure transformer: same as total layers.</t>
  </si>
  <si>
    <t>KV heads</t>
  </si>
  <si>
    <t>heads</t>
  </si>
  <si>
    <t>config.json → num_key_value_heads (GQA/MQA makes this &lt;&lt; num_attention_heads)</t>
  </si>
  <si>
    <t>Head dimension</t>
  </si>
  <si>
    <t>config.json → head_dim</t>
  </si>
  <si>
    <t>KV dtype size</t>
  </si>
  <si>
    <t>bytes</t>
  </si>
  <si>
    <t>fp8=1, fp16/bf16=2, fp32=4. vLLM logs it as kv_cache_dtype=...</t>
  </si>
  <si>
    <t>2 · vLLM ENGINE CONFIG   (your serve flags)</t>
  </si>
  <si>
    <t>KV pool size</t>
  </si>
  <si>
    <t>MiB</t>
  </si>
  <si>
    <t>--kv-cache-memory-bytes ÷ 1048576. Blank/unset = vLLM derives it from --gpu-memory-utilization.</t>
  </si>
  <si>
    <t>max_model_len</t>
  </si>
  <si>
    <t>tokens</t>
  </si>
  <si>
    <t>--max-model-len. MUST be ≤ pool capacity (row 22) or vLLM refuses to start.</t>
  </si>
  <si>
    <t>max_num_seqs</t>
  </si>
  <si>
    <t>--max-num-seqs</t>
  </si>
  <si>
    <t>Typical request length</t>
  </si>
  <si>
    <t>Average prompt size for YOUR workload — drives the concurrency estimate.</t>
  </si>
  <si>
    <t>3 · GPU KV CACHE   (computed)</t>
  </si>
  <si>
    <t>Theoretical bytes/token</t>
  </si>
  <si>
    <t>B/token</t>
  </si>
  <si>
    <t>attention layers × KV heads × head_dim × 2 (K and V) × dtype bytes</t>
  </si>
  <si>
    <t>Measured token slots</t>
  </si>
  <si>
    <t>OPTIONAL but best: vLLM startup log → "GPU KV cache size: N tokens". Clear this cell to fall back to theory.</t>
  </si>
  <si>
    <t>Effective bytes/token</t>
  </si>
  <si>
    <t>Measured wins — it captures real overheads theory misses.</t>
  </si>
  <si>
    <t>Overhead vs theory</t>
  </si>
  <si>
    <t>×</t>
  </si>
  <si>
    <t>1.00 for pure transformers. &gt;1 on hybrid Mamba models (page alignment + padding layers).</t>
  </si>
  <si>
    <t>POOL CAPACITY</t>
  </si>
  <si>
    <t>How many tokens of KV the GPU pool holds.</t>
  </si>
  <si>
    <t>Concurrency @ max len</t>
  </si>
  <si>
    <t>requests</t>
  </si>
  <si>
    <t>vLLM prints this as "Maximum concurrency for N tokens per request: X". &lt;2 means long requests serialise.</t>
  </si>
  <si>
    <t>Concurrency @ typical</t>
  </si>
  <si>
    <t>Capped by max_num_seqs — whichever binds first.</t>
  </si>
  <si>
    <t>4 · LMCACHE TIERS</t>
  </si>
  <si>
    <t>L1 size</t>
  </si>
  <si>
    <t>GiB</t>
  </si>
  <si>
    <t>--l1-size-gb. Pinned host DRAM. On unified-memory boxes this competes with the engine.</t>
  </si>
  <si>
    <t>LMCache bytes/token</t>
  </si>
  <si>
    <t>lmcache log → "cache_size_per_token=N bytes". HIGHER than vLLM's: it stores whatever is needed to restore a chunk (incl. SSM state).</t>
  </si>
  <si>
    <t>Chunk size</t>
  </si>
  <si>
    <t>--chunk-size. LMCache stores/evicts in whole chunks.</t>
  </si>
  <si>
    <t>Chunk object size</t>
  </si>
  <si>
    <t>One cache object on the wire and on disk.</t>
  </si>
  <si>
    <t>L1 CAPACITY</t>
  </si>
  <si>
    <t>The number that must EXCEED the GPU pool.</t>
  </si>
  <si>
    <t>L1 chunk objects</t>
  </si>
  <si>
    <t>objects</t>
  </si>
  <si>
    <t>Cross-check against lmcache /status → l1_manager.total_object_count</t>
  </si>
  <si>
    <t>L2 free disk</t>
  </si>
  <si>
    <t>GB</t>
  </si>
  <si>
    <t>df on the --l2-adapter base_path. Overflow tier; effectively unbounded.</t>
  </si>
  <si>
    <t>L2 capacity</t>
  </si>
  <si>
    <t>5 · HIERARCHY &amp; SAFETY CHECK   (the part that decides whether LMCache does anything)</t>
  </si>
  <si>
    <t>L1 ÷ GPU pool</t>
  </si>
  <si>
    <t>A cache tier must be BIGGER than the tier it backs.</t>
  </si>
  <si>
    <t xml:space="preserve">  ↳</t>
  </si>
  <si>
    <t>If inverted: shrink --kv-cache-memory-bytes, or raise --l1-size-gb.</t>
  </si>
  <si>
    <t>Requests in the run</t>
  </si>
  <si>
    <t>How many requests the benchmark/workload issues.</t>
  </si>
  <si>
    <t>Working set</t>
  </si>
  <si>
    <t>Total distinct KV the run touches.</t>
  </si>
  <si>
    <t>Oversubscription</t>
  </si>
  <si>
    <t>Working set ÷ pool capacity.</t>
  </si>
  <si>
    <t>LMCache is queried ONLY on a local prefix-cache miss.</t>
  </si>
  <si>
    <t>Offload volume</t>
  </si>
  <si>
    <t>Total KV pushed through LMCache. THIS is the number to watch for stability.</t>
  </si>
  <si>
    <t>Buffered L2 writes become dirty pages that draw on the same physical memory as the GPU.</t>
  </si>
  <si>
    <t>6 · REVERSE — size the pool for a target concurrency</t>
  </si>
  <si>
    <t>Target concurrency</t>
  </si>
  <si>
    <t>How many simultaneous requests you need to serve.</t>
  </si>
  <si>
    <t>At request length</t>
  </si>
  <si>
    <t>Defaults to your typical length above.</t>
  </si>
  <si>
    <t>Pool capacity needed</t>
  </si>
  <si>
    <t>Pool size needed</t>
  </si>
  <si>
    <t>→ set --kv-cache-memory-bytes to this × 1048576</t>
  </si>
  <si>
    <t>How each number is derived</t>
  </si>
  <si>
    <t>KV bytes per token</t>
  </si>
  <si>
    <t>attention_layers × kv_heads × head_dim × 2 × dtype_bytes.  The ×2 is K and V. Only ATTENTION layers count — MLP layers store nothing, and Mamba/SSM layers keep per-SEQUENCE state, not per-token. So a 52-layer hybrid with 6 attention layers costs the same per token as a 6-layer transformer.</t>
  </si>
  <si>
    <t>Why calibrate (row 19–21)</t>
  </si>
  <si>
    <t>Theory undercounts on hybrid models: vLLM pads the attention page so it matches the Mamba page, and may add padding layers. Measured here: theory 3,072 B/token vs actual 3,497 — a 1.14× overhead. Always prefer the engine's own "GPU KV cache size: N tokens" line; the ratio in row 21 tells you how much theory was off by.</t>
  </si>
  <si>
    <t>Two different bytes/token</t>
  </si>
  <si>
    <t>vLLM (row 20) and LMCache (row 28) count DIFFERENT things — 3,497 vs 11,799 B/token here, a 3.4× gap. LMCache must store enough to RESTORE a chunk, including SSM state, at its own dtype. Never size LMCache traffic from vLLM's number; convert to TOKENS first — that is the only common unit.</t>
  </si>
  <si>
    <t>The hierarchy rule (row 37)</t>
  </si>
  <si>
    <t>A cache only helps if it is bigger than what it backs. Measured example: a 10 GiB GPU pool held 3,260,912 tokens while a 4 GiB L1 held 364,011 — the backing tier was 9× SMALLER. Result: nothing ever evicted and the external hit rate sat at 6.6%. Shrinking the pool to 512 MiB (153,541 tokens, L1 = 2.4×) took it to 90.3%.</t>
  </si>
  <si>
    <t>Why eviction is required (row 41)</t>
  </si>
  <si>
    <t>LMCache is queried ONLY when vLLM's local prefix cache misses. Verify with the metrics: external_prefix_cache_queries_total should equal prefix_cache_queries_total − prefix_cache_hits_total, exactly. If the working set fits in the pool, nothing evicts, a local miss means brand-new content, and the external cache cannot have it either.</t>
  </si>
  <si>
    <t>Offload volume = stability (row 43)</t>
  </si>
  <si>
    <t>Working-set tokens × LMCache bytes/token. Once this exceeds L1 it streams to the L2 disk tier. With buffered I/O those writes become dirty page-cache pages; on a unified-memory box (DGX Spark GB10: one 128 GiB pool for GPU + host) they compete with the engine, and a failed driver allocation hard-resets the machine rather than OOM-killing a process. Measured: 2.36 GB ran clean; 23.83 GB reset the node.</t>
  </si>
  <si>
    <t>max_model_len constraint</t>
  </si>
  <si>
    <t>vLLM refuses to start unless the pool can hold one max-length request, so row 13 must stay ≤ row 22. Shrinking the pool therefore forces max_model_len down with it — that is a user-visible reduction in advertised context.</t>
  </si>
  <si>
    <t>Where to read each input off a live system</t>
  </si>
  <si>
    <t>Model params</t>
  </si>
  <si>
    <t>cat &lt;HF_HOME&gt;/…/config.json   →  num_hidden_layers, num_key_value_heads, head_dim, hybrid_override_pattern</t>
  </si>
  <si>
    <t>KV dtype</t>
  </si>
  <si>
    <t>kubectl logs deploy/&lt;engine&gt; | grep kv_cache_dtype</t>
  </si>
  <si>
    <t>GPU pool capacity</t>
  </si>
  <si>
    <t>kubectl logs deploy/&lt;engine&gt; | grep 'GPU KV cache size'</t>
  </si>
  <si>
    <t>Max concurrency</t>
  </si>
  <si>
    <t>kubectl logs deploy/&lt;engine&gt; | grep 'Maximum concurrency'</t>
  </si>
  <si>
    <t>LMCache B/token</t>
  </si>
  <si>
    <t>kubectl logs &lt;bench-pod&gt; | grep 'cache_size_per_token'</t>
  </si>
  <si>
    <t>L1 usage / objects</t>
  </si>
  <si>
    <t>curl -s http://&lt;lmcache&gt;:8080/status | jq .storage_manager.l1_manager</t>
  </si>
  <si>
    <t>L2 disk free</t>
  </si>
  <si>
    <t>kubectl exec deploy/lmcache -- df -h /kv-l2</t>
  </si>
  <si>
    <t>Live hit rates</t>
  </si>
  <si>
    <t>curl -s http://&lt;engine&gt;:8000/metrics | grep -E 'prefix_cache_(queries|hits)_total'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</si>
</sst>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2"/>
      <color rgb="FF1F3864"/>
      <name val="Calibri"/>
      <family val="2"/>
    </font>
    <font>
      <sz val="9"/>
      <color rgb="FF1F3864"/>
      <name val="Consolas"/>
      <family val="2"/>
    </font>
    <font>
      <b/>
      <sz val="14"/>
      <color rgb="FF1F3864"/>
      <name val="Calibri (Body)"/>
    </font>
    <font>
      <sz val="14"/>
      <color theme="1"/>
      <name val="Calibri (Body)"/>
    </font>
    <font>
      <i/>
      <sz val="14"/>
      <color rgb="FF595959"/>
      <name val="Calibri (Body)"/>
    </font>
    <font>
      <b/>
      <sz val="14"/>
      <color rgb="FFFFFFFF"/>
      <name val="Calibri (Body)"/>
    </font>
    <font>
      <sz val="14"/>
      <name val="Calibri (Body)"/>
    </font>
    <font>
      <b/>
      <sz val="14"/>
      <color rgb="FF000000"/>
      <name val="Calibri (Body)"/>
    </font>
    <font>
      <sz val="14"/>
      <color rgb="FF808080"/>
      <name val="Calibri (Body)"/>
    </font>
    <font>
      <sz val="14"/>
      <color rgb="FF595959"/>
      <name val="Calibri (Body)"/>
    </font>
    <font>
      <b/>
      <sz val="14"/>
      <name val="Calibri (Body)"/>
    </font>
    <font>
      <sz val="14"/>
      <color rgb="FFC0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vertical="center"/>
    </xf>
    <xf numFmtId="0" fontId="7" fillId="2" borderId="1" xfId="0" applyFont="1" applyFill="1" applyBorder="1"/>
    <xf numFmtId="0" fontId="10" fillId="0" borderId="1" xfId="0" applyFont="1" applyBorder="1"/>
    <xf numFmtId="0" fontId="11" fillId="3" borderId="1" xfId="0" applyFont="1" applyFill="1" applyBorder="1" applyAlignment="1">
      <alignment horizontal="right"/>
    </xf>
    <xf numFmtId="0" fontId="12" fillId="0" borderId="1" xfId="0" applyFont="1" applyBorder="1"/>
    <xf numFmtId="0" fontId="13" fillId="0" borderId="1" xfId="0" applyFont="1" applyBorder="1"/>
    <xf numFmtId="3" fontId="11" fillId="3" borderId="1" xfId="0" applyNumberFormat="1" applyFont="1" applyFill="1" applyBorder="1" applyAlignment="1">
      <alignment horizontal="right"/>
    </xf>
    <xf numFmtId="3" fontId="11" fillId="4" borderId="1" xfId="0" applyNumberFormat="1" applyFont="1" applyFill="1" applyBorder="1" applyAlignment="1">
      <alignment horizontal="right"/>
    </xf>
    <xf numFmtId="2" fontId="11" fillId="4" borderId="1" xfId="0" applyNumberFormat="1" applyFont="1" applyFill="1" applyBorder="1" applyAlignment="1">
      <alignment horizontal="right"/>
    </xf>
    <xf numFmtId="0" fontId="14" fillId="0" borderId="1" xfId="0" applyFont="1" applyBorder="1"/>
    <xf numFmtId="164" fontId="11" fillId="4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1"/>
  <sheetViews>
    <sheetView showGridLines="0" tabSelected="1" zoomScale="120" zoomScaleNormal="120" workbookViewId="0">
      <pane xSplit="1" ySplit="4" topLeftCell="B5" activePane="bottomRight" state="frozen"/>
      <selection pane="topRight"/>
      <selection pane="bottomLeft"/>
      <selection pane="bottomRight" activeCell="C12" sqref="C12"/>
    </sheetView>
  </sheetViews>
  <sheetFormatPr baseColWidth="10" defaultColWidth="8.83203125" defaultRowHeight="19" x14ac:dyDescent="0.25"/>
  <cols>
    <col min="1" max="1" width="2" style="8" customWidth="1"/>
    <col min="2" max="2" width="26" style="8" customWidth="1"/>
    <col min="3" max="3" width="53.33203125" style="8" bestFit="1" customWidth="1"/>
    <col min="4" max="4" width="9.6640625" style="8" bestFit="1" customWidth="1"/>
    <col min="5" max="5" width="133.33203125" style="8" bestFit="1" customWidth="1"/>
    <col min="6" max="16384" width="8.83203125" style="8"/>
  </cols>
  <sheetData>
    <row r="1" spans="2:5" x14ac:dyDescent="0.25">
      <c r="B1" s="7" t="s">
        <v>0</v>
      </c>
    </row>
    <row r="2" spans="2:5" x14ac:dyDescent="0.25">
      <c r="B2" s="9" t="s">
        <v>1</v>
      </c>
    </row>
    <row r="4" spans="2:5" x14ac:dyDescent="0.25">
      <c r="B4" s="10" t="s">
        <v>2</v>
      </c>
      <c r="C4" s="11"/>
      <c r="D4" s="11"/>
      <c r="E4" s="11"/>
    </row>
    <row r="5" spans="2:5" x14ac:dyDescent="0.25">
      <c r="B5" s="12" t="s">
        <v>3</v>
      </c>
      <c r="C5" s="13">
        <v>52</v>
      </c>
      <c r="D5" s="14" t="s">
        <v>4</v>
      </c>
      <c r="E5" s="15" t="s">
        <v>5</v>
      </c>
    </row>
    <row r="6" spans="2:5" x14ac:dyDescent="0.25">
      <c r="B6" s="12" t="s">
        <v>6</v>
      </c>
      <c r="C6" s="13">
        <v>6</v>
      </c>
      <c r="D6" s="14" t="s">
        <v>4</v>
      </c>
      <c r="E6" s="15" t="s">
        <v>7</v>
      </c>
    </row>
    <row r="7" spans="2:5" x14ac:dyDescent="0.25">
      <c r="B7" s="12" t="s">
        <v>8</v>
      </c>
      <c r="C7" s="13">
        <v>2</v>
      </c>
      <c r="D7" s="14" t="s">
        <v>9</v>
      </c>
      <c r="E7" s="15" t="s">
        <v>10</v>
      </c>
    </row>
    <row r="8" spans="2:5" x14ac:dyDescent="0.25">
      <c r="B8" s="12" t="s">
        <v>11</v>
      </c>
      <c r="C8" s="13">
        <v>128</v>
      </c>
      <c r="D8" s="14"/>
      <c r="E8" s="15" t="s">
        <v>12</v>
      </c>
    </row>
    <row r="9" spans="2:5" x14ac:dyDescent="0.25">
      <c r="B9" s="12" t="s">
        <v>13</v>
      </c>
      <c r="C9" s="13">
        <v>1</v>
      </c>
      <c r="D9" s="14" t="s">
        <v>14</v>
      </c>
      <c r="E9" s="15" t="s">
        <v>15</v>
      </c>
    </row>
    <row r="11" spans="2:5" x14ac:dyDescent="0.25">
      <c r="B11" s="10" t="s">
        <v>16</v>
      </c>
      <c r="C11" s="11"/>
      <c r="D11" s="11"/>
      <c r="E11" s="11"/>
    </row>
    <row r="12" spans="2:5" x14ac:dyDescent="0.25">
      <c r="B12" s="12" t="s">
        <v>17</v>
      </c>
      <c r="C12" s="16">
        <v>512</v>
      </c>
      <c r="D12" s="14" t="s">
        <v>18</v>
      </c>
      <c r="E12" s="15" t="s">
        <v>19</v>
      </c>
    </row>
    <row r="13" spans="2:5" x14ac:dyDescent="0.25">
      <c r="B13" s="12" t="s">
        <v>20</v>
      </c>
      <c r="C13" s="16">
        <v>131072</v>
      </c>
      <c r="D13" s="14" t="s">
        <v>21</v>
      </c>
      <c r="E13" s="15" t="s">
        <v>22</v>
      </c>
    </row>
    <row r="14" spans="2:5" x14ac:dyDescent="0.25">
      <c r="B14" s="12" t="s">
        <v>23</v>
      </c>
      <c r="C14" s="13">
        <v>32</v>
      </c>
      <c r="D14" s="14"/>
      <c r="E14" s="15" t="s">
        <v>24</v>
      </c>
    </row>
    <row r="15" spans="2:5" x14ac:dyDescent="0.25">
      <c r="B15" s="12" t="s">
        <v>25</v>
      </c>
      <c r="C15" s="16">
        <v>25000</v>
      </c>
      <c r="D15" s="14" t="s">
        <v>21</v>
      </c>
      <c r="E15" s="15" t="s">
        <v>26</v>
      </c>
    </row>
    <row r="17" spans="2:5" x14ac:dyDescent="0.25">
      <c r="B17" s="10" t="s">
        <v>27</v>
      </c>
      <c r="C17" s="11"/>
      <c r="D17" s="11"/>
      <c r="E17" s="11"/>
    </row>
    <row r="18" spans="2:5" x14ac:dyDescent="0.25">
      <c r="B18" s="12" t="s">
        <v>28</v>
      </c>
      <c r="C18" s="17">
        <f>C6*C7*C8*2*C9</f>
        <v>3072</v>
      </c>
      <c r="D18" s="14" t="s">
        <v>29</v>
      </c>
      <c r="E18" s="15" t="s">
        <v>30</v>
      </c>
    </row>
    <row r="19" spans="2:5" x14ac:dyDescent="0.25">
      <c r="B19" s="12" t="s">
        <v>31</v>
      </c>
      <c r="C19" s="16">
        <v>153541</v>
      </c>
      <c r="D19" s="14" t="s">
        <v>21</v>
      </c>
      <c r="E19" s="15" t="s">
        <v>32</v>
      </c>
    </row>
    <row r="20" spans="2:5" x14ac:dyDescent="0.25">
      <c r="B20" s="12" t="s">
        <v>33</v>
      </c>
      <c r="C20" s="17">
        <f>IF(C19="",C18,C12*1048576/C19)</f>
        <v>3496.5964270129803</v>
      </c>
      <c r="D20" s="14" t="s">
        <v>29</v>
      </c>
      <c r="E20" s="15" t="s">
        <v>34</v>
      </c>
    </row>
    <row r="21" spans="2:5" x14ac:dyDescent="0.25">
      <c r="B21" s="12" t="s">
        <v>35</v>
      </c>
      <c r="C21" s="18">
        <f>C20/C18</f>
        <v>1.1382149827516213</v>
      </c>
      <c r="D21" s="14" t="s">
        <v>36</v>
      </c>
      <c r="E21" s="15" t="s">
        <v>37</v>
      </c>
    </row>
    <row r="22" spans="2:5" x14ac:dyDescent="0.25">
      <c r="B22" s="19" t="s">
        <v>38</v>
      </c>
      <c r="C22" s="17">
        <f>C12*1048576/C20</f>
        <v>153541</v>
      </c>
      <c r="D22" s="14" t="s">
        <v>21</v>
      </c>
      <c r="E22" s="15" t="s">
        <v>39</v>
      </c>
    </row>
    <row r="23" spans="2:5" x14ac:dyDescent="0.25">
      <c r="B23" s="12" t="s">
        <v>40</v>
      </c>
      <c r="C23" s="18">
        <f>C22/C13</f>
        <v>1.1714248657226562</v>
      </c>
      <c r="D23" s="14" t="s">
        <v>41</v>
      </c>
      <c r="E23" s="15" t="s">
        <v>42</v>
      </c>
    </row>
    <row r="24" spans="2:5" x14ac:dyDescent="0.25">
      <c r="B24" s="12" t="s">
        <v>43</v>
      </c>
      <c r="C24" s="20">
        <f>MIN(C22/C15,C14)</f>
        <v>6.1416399999999998</v>
      </c>
      <c r="D24" s="14" t="s">
        <v>41</v>
      </c>
      <c r="E24" s="15" t="s">
        <v>44</v>
      </c>
    </row>
    <row r="26" spans="2:5" x14ac:dyDescent="0.25">
      <c r="B26" s="10" t="s">
        <v>45</v>
      </c>
      <c r="C26" s="11"/>
      <c r="D26" s="11"/>
      <c r="E26" s="11"/>
    </row>
    <row r="27" spans="2:5" x14ac:dyDescent="0.25">
      <c r="B27" s="12" t="s">
        <v>46</v>
      </c>
      <c r="C27" s="13">
        <v>4</v>
      </c>
      <c r="D27" s="14" t="s">
        <v>47</v>
      </c>
      <c r="E27" s="15" t="s">
        <v>48</v>
      </c>
    </row>
    <row r="28" spans="2:5" x14ac:dyDescent="0.25">
      <c r="B28" s="12" t="s">
        <v>49</v>
      </c>
      <c r="C28" s="16">
        <v>11799</v>
      </c>
      <c r="D28" s="14" t="s">
        <v>29</v>
      </c>
      <c r="E28" s="15" t="s">
        <v>50</v>
      </c>
    </row>
    <row r="29" spans="2:5" x14ac:dyDescent="0.25">
      <c r="B29" s="12" t="s">
        <v>51</v>
      </c>
      <c r="C29" s="16">
        <v>2128</v>
      </c>
      <c r="D29" s="14" t="s">
        <v>21</v>
      </c>
      <c r="E29" s="15" t="s">
        <v>52</v>
      </c>
    </row>
    <row r="30" spans="2:5" x14ac:dyDescent="0.25">
      <c r="B30" s="12" t="s">
        <v>53</v>
      </c>
      <c r="C30" s="20">
        <f>C29*C28/1048576</f>
        <v>23.945114135742188</v>
      </c>
      <c r="D30" s="14" t="s">
        <v>18</v>
      </c>
      <c r="E30" s="15" t="s">
        <v>54</v>
      </c>
    </row>
    <row r="31" spans="2:5" x14ac:dyDescent="0.25">
      <c r="B31" s="19" t="s">
        <v>55</v>
      </c>
      <c r="C31" s="17">
        <f>C27*1073741824/C28</f>
        <v>364011.12772268837</v>
      </c>
      <c r="D31" s="14" t="s">
        <v>21</v>
      </c>
      <c r="E31" s="15" t="s">
        <v>56</v>
      </c>
    </row>
    <row r="32" spans="2:5" x14ac:dyDescent="0.25">
      <c r="B32" s="12" t="s">
        <v>57</v>
      </c>
      <c r="C32" s="17">
        <f>C31/C29</f>
        <v>171.05786077194003</v>
      </c>
      <c r="D32" s="14" t="s">
        <v>58</v>
      </c>
      <c r="E32" s="15" t="s">
        <v>59</v>
      </c>
    </row>
    <row r="33" spans="2:5" x14ac:dyDescent="0.25">
      <c r="B33" s="12" t="s">
        <v>60</v>
      </c>
      <c r="C33" s="16">
        <v>1300</v>
      </c>
      <c r="D33" s="14" t="s">
        <v>61</v>
      </c>
      <c r="E33" s="15" t="s">
        <v>62</v>
      </c>
    </row>
    <row r="34" spans="2:5" x14ac:dyDescent="0.25">
      <c r="B34" s="12" t="s">
        <v>63</v>
      </c>
      <c r="C34" s="17">
        <f>C33*1000000000/C28</f>
        <v>110178828.71429782</v>
      </c>
      <c r="D34" s="14" t="s">
        <v>21</v>
      </c>
      <c r="E34" s="15"/>
    </row>
    <row r="36" spans="2:5" x14ac:dyDescent="0.25">
      <c r="B36" s="10" t="s">
        <v>64</v>
      </c>
      <c r="C36" s="11"/>
      <c r="D36" s="11"/>
      <c r="E36" s="11"/>
    </row>
    <row r="37" spans="2:5" x14ac:dyDescent="0.25">
      <c r="B37" s="12" t="s">
        <v>65</v>
      </c>
      <c r="C37" s="18">
        <f>C31/C22</f>
        <v>2.3707747619377781</v>
      </c>
      <c r="D37" s="14" t="s">
        <v>36</v>
      </c>
      <c r="E37" s="15" t="s">
        <v>66</v>
      </c>
    </row>
    <row r="38" spans="2:5" x14ac:dyDescent="0.25">
      <c r="B38" s="12" t="s">
        <v>67</v>
      </c>
      <c r="C38" s="21" t="str">
        <f>IF(C37&gt;1,"OK — L1 is larger than the pool it backs","INVERTED — L1 is smaller than the GPU pool, so LMCache can never help")</f>
        <v>OK — L1 is larger than the pool it backs</v>
      </c>
      <c r="D38" s="14"/>
      <c r="E38" s="15" t="s">
        <v>68</v>
      </c>
    </row>
    <row r="39" spans="2:5" x14ac:dyDescent="0.25">
      <c r="B39" s="12" t="s">
        <v>69</v>
      </c>
      <c r="C39" s="13">
        <v>8</v>
      </c>
      <c r="D39" s="14" t="s">
        <v>41</v>
      </c>
      <c r="E39" s="15" t="s">
        <v>70</v>
      </c>
    </row>
    <row r="40" spans="2:5" x14ac:dyDescent="0.25">
      <c r="B40" s="12" t="s">
        <v>71</v>
      </c>
      <c r="C40" s="17">
        <f>C39*C15</f>
        <v>200000</v>
      </c>
      <c r="D40" s="14" t="s">
        <v>21</v>
      </c>
      <c r="E40" s="15" t="s">
        <v>72</v>
      </c>
    </row>
    <row r="41" spans="2:5" x14ac:dyDescent="0.25">
      <c r="B41" s="12" t="s">
        <v>73</v>
      </c>
      <c r="C41" s="18">
        <f>C40/C22</f>
        <v>1.3025836747188047</v>
      </c>
      <c r="D41" s="14" t="s">
        <v>36</v>
      </c>
      <c r="E41" s="15" t="s">
        <v>74</v>
      </c>
    </row>
    <row r="42" spans="2:5" x14ac:dyDescent="0.25">
      <c r="B42" s="12" t="s">
        <v>67</v>
      </c>
      <c r="C42" s="21" t="str">
        <f>IF(C41&gt;1,"OK — prefixes evict, so LMCache is actually exercised","NO EVICTION — nothing leaves the GPU pool, external hit rate will be ~0%")</f>
        <v>OK — prefixes evict, so LMCache is actually exercised</v>
      </c>
      <c r="D42" s="14"/>
      <c r="E42" s="15" t="s">
        <v>75</v>
      </c>
    </row>
    <row r="43" spans="2:5" x14ac:dyDescent="0.25">
      <c r="B43" s="12" t="s">
        <v>76</v>
      </c>
      <c r="C43" s="18">
        <f>C40*C28/1000000000</f>
        <v>2.3597999999999999</v>
      </c>
      <c r="D43" s="14" t="s">
        <v>61</v>
      </c>
      <c r="E43" s="15" t="s">
        <v>77</v>
      </c>
    </row>
    <row r="44" spans="2:5" x14ac:dyDescent="0.25">
      <c r="B44" s="12" t="s">
        <v>67</v>
      </c>
      <c r="C44" s="21" t="str">
        <f>IF(C40&lt;=C31,"Fits in L1 — no sustained NVMe write pressure","SPILLS TO L2 — sustained NVMe writeback; on unified memory this can exhaust the pool")</f>
        <v>Fits in L1 — no sustained NVMe write pressure</v>
      </c>
      <c r="D44" s="14"/>
      <c r="E44" s="15" t="s">
        <v>78</v>
      </c>
    </row>
    <row r="46" spans="2:5" x14ac:dyDescent="0.25">
      <c r="B46" s="10" t="s">
        <v>79</v>
      </c>
      <c r="C46" s="11"/>
      <c r="D46" s="11"/>
      <c r="E46" s="11"/>
    </row>
    <row r="47" spans="2:5" x14ac:dyDescent="0.25">
      <c r="B47" s="12" t="s">
        <v>80</v>
      </c>
      <c r="C47" s="13">
        <v>4</v>
      </c>
      <c r="D47" s="14" t="s">
        <v>41</v>
      </c>
      <c r="E47" s="15" t="s">
        <v>81</v>
      </c>
    </row>
    <row r="48" spans="2:5" x14ac:dyDescent="0.25">
      <c r="B48" s="12" t="s">
        <v>82</v>
      </c>
      <c r="C48" s="17">
        <f>C15</f>
        <v>25000</v>
      </c>
      <c r="D48" s="14" t="s">
        <v>21</v>
      </c>
      <c r="E48" s="15" t="s">
        <v>83</v>
      </c>
    </row>
    <row r="49" spans="2:5" x14ac:dyDescent="0.25">
      <c r="B49" s="12" t="s">
        <v>84</v>
      </c>
      <c r="C49" s="17">
        <f>C47*C48</f>
        <v>100000</v>
      </c>
      <c r="D49" s="14" t="s">
        <v>21</v>
      </c>
      <c r="E49" s="15"/>
    </row>
    <row r="50" spans="2:5" x14ac:dyDescent="0.25">
      <c r="B50" s="12" t="s">
        <v>85</v>
      </c>
      <c r="C50" s="17">
        <f>C49*C20/1048576</f>
        <v>333.46142072801399</v>
      </c>
      <c r="D50" s="14" t="s">
        <v>18</v>
      </c>
      <c r="E50" s="15" t="s">
        <v>86</v>
      </c>
    </row>
    <row r="51" spans="2:5" x14ac:dyDescent="0.25">
      <c r="B51" s="12" t="s">
        <v>67</v>
      </c>
      <c r="C51" s="21" t="str">
        <f>IF(C31&gt;C49,"Hierarchy stays upright at this size","Too big — L1 would be smaller than the pool; raise --l1-size-gb or lower the target")</f>
        <v>Hierarchy stays upright at this size</v>
      </c>
      <c r="D51" s="14"/>
      <c r="E51" s="1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9"/>
  <sheetViews>
    <sheetView showGridLines="0" workbookViewId="0"/>
  </sheetViews>
  <sheetFormatPr baseColWidth="10" defaultColWidth="8.83203125" defaultRowHeight="15" x14ac:dyDescent="0.2"/>
  <cols>
    <col min="2" max="2" width="30" customWidth="1"/>
    <col min="3" max="3" width="118" customWidth="1"/>
  </cols>
  <sheetData>
    <row r="1" spans="2:3" ht="19" x14ac:dyDescent="0.25">
      <c r="B1" s="1" t="s">
        <v>87</v>
      </c>
    </row>
    <row r="3" spans="2:3" ht="42" customHeight="1" x14ac:dyDescent="0.2">
      <c r="B3" s="2" t="s">
        <v>88</v>
      </c>
      <c r="C3" s="3" t="s">
        <v>89</v>
      </c>
    </row>
    <row r="4" spans="2:3" ht="42" customHeight="1" x14ac:dyDescent="0.2">
      <c r="B4" s="2" t="s">
        <v>90</v>
      </c>
      <c r="C4" s="3" t="s">
        <v>91</v>
      </c>
    </row>
    <row r="5" spans="2:3" ht="42" customHeight="1" x14ac:dyDescent="0.2">
      <c r="B5" s="2" t="s">
        <v>92</v>
      </c>
      <c r="C5" s="3" t="s">
        <v>93</v>
      </c>
    </row>
    <row r="6" spans="2:3" ht="42" customHeight="1" x14ac:dyDescent="0.2">
      <c r="B6" s="2" t="s">
        <v>94</v>
      </c>
      <c r="C6" s="3" t="s">
        <v>95</v>
      </c>
    </row>
    <row r="7" spans="2:3" ht="42" customHeight="1" x14ac:dyDescent="0.2">
      <c r="B7" s="2" t="s">
        <v>96</v>
      </c>
      <c r="C7" s="3" t="s">
        <v>97</v>
      </c>
    </row>
    <row r="8" spans="2:3" ht="56" customHeight="1" x14ac:dyDescent="0.2">
      <c r="B8" s="2" t="s">
        <v>98</v>
      </c>
      <c r="C8" s="3" t="s">
        <v>99</v>
      </c>
    </row>
    <row r="9" spans="2:3" ht="28" customHeight="1" x14ac:dyDescent="0.2">
      <c r="B9" s="2" t="s">
        <v>100</v>
      </c>
      <c r="C9" s="3" t="s">
        <v>101</v>
      </c>
    </row>
    <row r="11" spans="2:3" ht="16" x14ac:dyDescent="0.2">
      <c r="B11" s="4" t="s">
        <v>102</v>
      </c>
    </row>
    <row r="12" spans="2:3" x14ac:dyDescent="0.2">
      <c r="B12" s="5" t="s">
        <v>103</v>
      </c>
      <c r="C12" s="6" t="s">
        <v>104</v>
      </c>
    </row>
    <row r="13" spans="2:3" x14ac:dyDescent="0.2">
      <c r="B13" s="5" t="s">
        <v>105</v>
      </c>
      <c r="C13" s="6" t="s">
        <v>106</v>
      </c>
    </row>
    <row r="14" spans="2:3" x14ac:dyDescent="0.2">
      <c r="B14" s="5" t="s">
        <v>107</v>
      </c>
      <c r="C14" s="6" t="s">
        <v>108</v>
      </c>
    </row>
    <row r="15" spans="2:3" x14ac:dyDescent="0.2">
      <c r="B15" s="5" t="s">
        <v>109</v>
      </c>
      <c r="C15" s="6" t="s">
        <v>110</v>
      </c>
    </row>
    <row r="16" spans="2:3" x14ac:dyDescent="0.2">
      <c r="B16" s="5" t="s">
        <v>111</v>
      </c>
      <c r="C16" s="6" t="s">
        <v>112</v>
      </c>
    </row>
    <row r="17" spans="2:3" x14ac:dyDescent="0.2">
      <c r="B17" s="5" t="s">
        <v>113</v>
      </c>
      <c r="C17" s="6" t="s">
        <v>114</v>
      </c>
    </row>
    <row r="18" spans="2:3" x14ac:dyDescent="0.2">
      <c r="B18" s="5" t="s">
        <v>115</v>
      </c>
      <c r="C18" s="6" t="s">
        <v>116</v>
      </c>
    </row>
    <row r="19" spans="2:3" x14ac:dyDescent="0.2">
      <c r="B19" s="5" t="s">
        <v>117</v>
      </c>
      <c r="C19" s="6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How it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Krishna</cp:lastModifiedBy>
  <dcterms:created xsi:type="dcterms:W3CDTF">2026-08-30T13:15:39Z</dcterms:created>
  <dcterms:modified xsi:type="dcterms:W3CDTF">2026-08-30T13:31:17Z</dcterms:modified>
</cp:coreProperties>
</file>